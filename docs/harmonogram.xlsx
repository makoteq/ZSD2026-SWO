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franssen.APOLLO\Desktop\Free Excel Gantt Chart Templates\"/>
    </mc:Choice>
  </mc:AlternateContent>
  <xr:revisionPtr revIDLastSave="0" documentId="8_{B9C6E5D6-CF5B-45F1-B145-301BC7956A38}" xr6:coauthVersionLast="47" xr6:coauthVersionMax="47" xr10:uidLastSave="{00000000-0000-0000-0000-000000000000}"/>
  <bookViews>
    <workbookView xWindow="-120" yWindow="-120" windowWidth="29040" windowHeight="12450" tabRatio="500" xr2:uid="{00000000-000D-0000-FFFF-FFFF00000000}"/>
  </bookViews>
  <sheets>
    <sheet name="BLANK - Gantt Chart" sheetId="3" r:id="rId1"/>
  </sheets>
  <definedNames>
    <definedName name="_xlnm.Print_Area" localSheetId="0">'BLANK - Gantt Chart'!$B$2:$BP$35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5" i="3" l="1"/>
  <c r="G26" i="3"/>
  <c r="G27" i="3"/>
  <c r="G22" i="3"/>
  <c r="G31" i="3"/>
  <c r="G32" i="3"/>
  <c r="G33" i="3"/>
  <c r="G29" i="3"/>
  <c r="G19" i="3"/>
  <c r="G20" i="3"/>
  <c r="G23" i="3"/>
  <c r="G24" i="3"/>
  <c r="G30" i="3"/>
  <c r="G7" i="3"/>
  <c r="G8" i="3"/>
  <c r="G9" i="3"/>
  <c r="G10" i="3"/>
  <c r="G11" i="3"/>
  <c r="G12" i="3"/>
  <c r="G13" i="3"/>
</calcChain>
</file>

<file path=xl/sharedStrings.xml><?xml version="1.0" encoding="utf-8"?>
<sst xmlns="http://schemas.openxmlformats.org/spreadsheetml/2006/main" count="147" uniqueCount="73">
  <si>
    <t>ZSD 2026</t>
  </si>
  <si>
    <t>Project Title</t>
  </si>
  <si>
    <t>System wczesnego ostrzegania</t>
  </si>
  <si>
    <t>Project Manager</t>
  </si>
  <si>
    <t>redacted</t>
  </si>
  <si>
    <t>TASK</t>
  </si>
  <si>
    <t>START</t>
  </si>
  <si>
    <t>DUE</t>
  </si>
  <si>
    <t>DURATION</t>
  </si>
  <si>
    <t>STATUS</t>
  </si>
  <si>
    <t>ID</t>
  </si>
  <si>
    <t>TITLE</t>
  </si>
  <si>
    <t>OWNER</t>
  </si>
  <si>
    <t>DATE</t>
  </si>
  <si>
    <t>IN DAYS</t>
  </si>
  <si>
    <t>M</t>
  </si>
  <si>
    <t>T</t>
  </si>
  <si>
    <t>W</t>
  </si>
  <si>
    <t>R</t>
  </si>
  <si>
    <t>F</t>
  </si>
  <si>
    <t>Milestone 1 25-03</t>
  </si>
  <si>
    <t>Wyznaczanie pasów ruchu</t>
  </si>
  <si>
    <t xml:space="preserve">DEV-1 </t>
  </si>
  <si>
    <t>1.1.1</t>
  </si>
  <si>
    <t>Detekcja pojazdów</t>
  </si>
  <si>
    <t>DEV-1</t>
  </si>
  <si>
    <t>Algorytm estymacji prędkości</t>
  </si>
  <si>
    <t xml:space="preserve">Rekonstrukcja trajektorii ruchu </t>
  </si>
  <si>
    <t xml:space="preserve">Konfiguracja środowiska drogowego w CARLA </t>
  </si>
  <si>
    <t>DEV-2</t>
  </si>
  <si>
    <t xml:space="preserve">Konfiguracja środowiska do transfer-learning modelu YOLO i przygotowanie datasetu </t>
  </si>
  <si>
    <t>DEV-3</t>
  </si>
  <si>
    <t>Pozyskanie i parsowanie danych z RADARU</t>
  </si>
  <si>
    <t>1,7</t>
  </si>
  <si>
    <t xml:space="preserve">Konfiguracja platformy docelowej </t>
  </si>
  <si>
    <t>1.8</t>
  </si>
  <si>
    <t xml:space="preserve">Stress testy platformy docelowej na przykładowym modelu detekcji </t>
  </si>
  <si>
    <t>1.9</t>
  </si>
  <si>
    <t xml:space="preserve">Przygotowanie kodu badające vitale programu </t>
  </si>
  <si>
    <t>2</t>
  </si>
  <si>
    <t>Milestone 2 25-03 - 22-04</t>
  </si>
  <si>
    <t>2,1</t>
  </si>
  <si>
    <t xml:space="preserve">Powiązanie danych z radaru z bound boxami z YOLO </t>
  </si>
  <si>
    <t>2,2</t>
  </si>
  <si>
    <t>Pomiar prędkości</t>
  </si>
  <si>
    <t>2,3</t>
  </si>
  <si>
    <t>Transfer-learning modelu</t>
  </si>
  <si>
    <t>2,4</t>
  </si>
  <si>
    <t xml:space="preserve">Stress testy platformy docelowej na docelowym mechanizmie detekcji samochodów </t>
  </si>
  <si>
    <t>2,5</t>
  </si>
  <si>
    <t>Wykrywanie wyprzedzania na podstawie trajektorii</t>
  </si>
  <si>
    <t>2,6</t>
  </si>
  <si>
    <t>Generacja rozszerzonego zestawu scenariuszy</t>
  </si>
  <si>
    <t>2,7</t>
  </si>
  <si>
    <t xml:space="preserve">Ewaliacja i wytypowanie potencjalnych scenariuszy dla których wymagana jest poprawa algorytmu </t>
  </si>
  <si>
    <t>2,8</t>
  </si>
  <si>
    <t xml:space="preserve">Integracja elementów mechanizmu predykcyjnego przewidującego ryzyko zdarzenia niebezpiecznego w horyzoncie czasowym 5–15 s </t>
  </si>
  <si>
    <t>2,9</t>
  </si>
  <si>
    <t xml:space="preserve">Ewaluacja skuteczności predykcji </t>
  </si>
  <si>
    <t>3</t>
  </si>
  <si>
    <t>Milestone 3 20-05</t>
  </si>
  <si>
    <t>3,1</t>
  </si>
  <si>
    <t xml:space="preserve">Integracja modułów predykcji i systemu embedded bez fizycznej kamery/radaru </t>
  </si>
  <si>
    <t>DEV-1 DEV-3</t>
  </si>
  <si>
    <t>3,2</t>
  </si>
  <si>
    <t xml:space="preserve">Udoskonalenie algorytmu detekcji do poziomu false alarm rate na poziomie: max 20% oraz true alarm rate na poziomie min 80% </t>
  </si>
  <si>
    <t>3,3</t>
  </si>
  <si>
    <t xml:space="preserve">Wykazanie wykrywania sytuacji niebezpiecznej </t>
  </si>
  <si>
    <t>3,4</t>
  </si>
  <si>
    <t xml:space="preserve">Wybór idealnej platformy sprzętowej bez względu na budżet. </t>
  </si>
  <si>
    <t>DEV-3 DEV-2</t>
  </si>
  <si>
    <t>3,5</t>
  </si>
  <si>
    <t>Testy końcowe i szeroka ewaluacja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</si>
</sst>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d\-mm;@"/>
  </numFmts>
  <fonts count="19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b/>
      <sz val="22"/>
      <color theme="1" tint="0.34998626667073579"/>
      <name val="Century Gothic"/>
      <family val="1"/>
    </font>
    <font>
      <b/>
      <sz val="10"/>
      <color theme="1" tint="0.34998626667073579"/>
      <name val="Century Gothic"/>
      <family val="1"/>
    </font>
    <font>
      <sz val="14"/>
      <color theme="1"/>
      <name val="Century Gothic"/>
      <family val="2"/>
    </font>
    <font>
      <sz val="10"/>
      <color rgb="FFFF0000"/>
      <name val="Century Gothic"/>
      <family val="1"/>
    </font>
    <font>
      <b/>
      <sz val="12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color rgb="FF000000"/>
      <name val="Century Gothic"/>
      <family val="1"/>
    </font>
    <font>
      <sz val="10"/>
      <color rgb="FFFFFF00"/>
      <name val="Century Gothic"/>
      <family val="1"/>
    </font>
    <font>
      <sz val="10"/>
      <color theme="4"/>
      <name val="Century Gothic"/>
      <family val="1"/>
    </font>
    <font>
      <sz val="10"/>
      <color theme="0"/>
      <name val="Century Gothic"/>
      <family val="1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32E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57AD"/>
        <bgColor indexed="64"/>
      </patternFill>
    </fill>
    <fill>
      <patternFill patternType="solid">
        <fgColor rgb="FF0070C0"/>
        <bgColor indexed="64"/>
      </patternFill>
    </fill>
  </fills>
  <borders count="3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medium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1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4" fillId="3" borderId="10" xfId="0" applyFont="1" applyFill="1" applyBorder="1" applyAlignment="1">
      <alignment horizontal="left" wrapText="1" indent="1"/>
    </xf>
    <xf numFmtId="0" fontId="4" fillId="3" borderId="13" xfId="0" applyFont="1" applyFill="1" applyBorder="1" applyAlignment="1">
      <alignment horizontal="left" wrapText="1" indent="1"/>
    </xf>
    <xf numFmtId="0" fontId="4" fillId="3" borderId="13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left" vertical="top" wrapText="1" indent="1"/>
    </xf>
    <xf numFmtId="0" fontId="4" fillId="3" borderId="12" xfId="0" applyFont="1" applyFill="1" applyBorder="1" applyAlignment="1">
      <alignment horizontal="left" vertical="top" wrapText="1" indent="1"/>
    </xf>
    <xf numFmtId="0" fontId="4" fillId="3" borderId="12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3" borderId="1" xfId="0" applyFont="1" applyFill="1" applyBorder="1"/>
    <xf numFmtId="0" fontId="3" fillId="3" borderId="3" xfId="0" applyFont="1" applyFill="1" applyBorder="1"/>
    <xf numFmtId="0" fontId="3" fillId="3" borderId="17" xfId="0" applyFont="1" applyFill="1" applyBorder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17" xfId="0" applyFont="1" applyBorder="1"/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6" fillId="9" borderId="0" xfId="0" applyFont="1" applyFill="1" applyAlignment="1">
      <alignment vertical="center"/>
    </xf>
    <xf numFmtId="0" fontId="3" fillId="9" borderId="0" xfId="0" applyFont="1" applyFill="1" applyAlignment="1">
      <alignment horizontal="left" vertical="center" wrapText="1" indent="1"/>
    </xf>
    <xf numFmtId="49" fontId="3" fillId="4" borderId="16" xfId="0" applyNumberFormat="1" applyFont="1" applyFill="1" applyBorder="1" applyAlignment="1">
      <alignment horizontal="left" vertical="center" indent="1"/>
    </xf>
    <xf numFmtId="0" fontId="3" fillId="3" borderId="4" xfId="0" applyFont="1" applyFill="1" applyBorder="1" applyAlignment="1">
      <alignment horizontal="left" vertical="center" indent="1"/>
    </xf>
    <xf numFmtId="0" fontId="3" fillId="3" borderId="5" xfId="0" applyFont="1" applyFill="1" applyBorder="1" applyAlignment="1">
      <alignment horizontal="left" vertical="center" indent="2"/>
    </xf>
    <xf numFmtId="1" fontId="3" fillId="3" borderId="5" xfId="0" applyNumberFormat="1" applyFont="1" applyFill="1" applyBorder="1" applyAlignment="1">
      <alignment horizontal="center" vertical="center"/>
    </xf>
    <xf numFmtId="49" fontId="3" fillId="4" borderId="18" xfId="0" applyNumberFormat="1" applyFont="1" applyFill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2"/>
    </xf>
    <xf numFmtId="0" fontId="3" fillId="3" borderId="2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1" fontId="3" fillId="3" borderId="1" xfId="0" applyNumberFormat="1" applyFont="1" applyFill="1" applyBorder="1" applyAlignment="1">
      <alignment horizontal="center" vertical="center"/>
    </xf>
    <xf numFmtId="49" fontId="3" fillId="4" borderId="19" xfId="0" applyNumberFormat="1" applyFont="1" applyFill="1" applyBorder="1" applyAlignment="1">
      <alignment horizontal="left" vertical="center" indent="1"/>
    </xf>
    <xf numFmtId="0" fontId="3" fillId="3" borderId="20" xfId="0" applyFont="1" applyFill="1" applyBorder="1"/>
    <xf numFmtId="0" fontId="3" fillId="0" borderId="20" xfId="0" applyFont="1" applyBorder="1"/>
    <xf numFmtId="0" fontId="4" fillId="3" borderId="21" xfId="0" applyFont="1" applyFill="1" applyBorder="1" applyAlignment="1">
      <alignment horizontal="center" wrapText="1"/>
    </xf>
    <xf numFmtId="0" fontId="4" fillId="3" borderId="22" xfId="0" applyFont="1" applyFill="1" applyBorder="1" applyAlignment="1">
      <alignment horizontal="center" vertical="top" wrapText="1"/>
    </xf>
    <xf numFmtId="9" fontId="5" fillId="3" borderId="23" xfId="1" applyFont="1" applyFill="1" applyBorder="1" applyAlignment="1">
      <alignment horizontal="center" vertical="center"/>
    </xf>
    <xf numFmtId="9" fontId="5" fillId="0" borderId="17" xfId="1" applyFont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/>
    </xf>
    <xf numFmtId="14" fontId="3" fillId="3" borderId="27" xfId="0" applyNumberFormat="1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14" fontId="3" fillId="3" borderId="29" xfId="0" applyNumberFormat="1" applyFont="1" applyFill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164" fontId="3" fillId="3" borderId="30" xfId="0" applyNumberFormat="1" applyFont="1" applyFill="1" applyBorder="1" applyAlignment="1">
      <alignment horizontal="center" vertical="center"/>
    </xf>
    <xf numFmtId="164" fontId="3" fillId="6" borderId="20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wrapText="1"/>
    </xf>
    <xf numFmtId="0" fontId="4" fillId="3" borderId="26" xfId="0" applyFont="1" applyFill="1" applyBorder="1" applyAlignment="1">
      <alignment horizontal="center" wrapText="1"/>
    </xf>
    <xf numFmtId="0" fontId="4" fillId="3" borderId="24" xfId="0" applyFont="1" applyFill="1" applyBorder="1" applyAlignment="1">
      <alignment horizontal="center" vertical="top" wrapText="1"/>
    </xf>
    <xf numFmtId="0" fontId="4" fillId="3" borderId="25" xfId="0" applyFont="1" applyFill="1" applyBorder="1" applyAlignment="1">
      <alignment horizontal="center" vertical="top" wrapText="1"/>
    </xf>
    <xf numFmtId="0" fontId="11" fillId="0" borderId="1" xfId="0" applyFont="1" applyBorder="1"/>
    <xf numFmtId="0" fontId="11" fillId="0" borderId="3" xfId="0" applyFont="1" applyBorder="1"/>
    <xf numFmtId="0" fontId="11" fillId="0" borderId="2" xfId="0" applyFont="1" applyBorder="1"/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wrapText="1"/>
    </xf>
    <xf numFmtId="0" fontId="3" fillId="0" borderId="2" xfId="0" applyFont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1"/>
    </xf>
    <xf numFmtId="165" fontId="3" fillId="0" borderId="30" xfId="0" applyNumberFormat="1" applyFont="1" applyBorder="1" applyAlignment="1">
      <alignment horizontal="center" vertical="center"/>
    </xf>
    <xf numFmtId="165" fontId="3" fillId="6" borderId="20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/>
    <xf numFmtId="0" fontId="3" fillId="0" borderId="1" xfId="0" applyFont="1" applyBorder="1" applyAlignment="1">
      <alignment horizontal="center" vertical="center" indent="1"/>
    </xf>
    <xf numFmtId="0" fontId="3" fillId="0" borderId="1" xfId="0" applyFont="1" applyBorder="1" applyAlignment="1">
      <alignment horizontal="center" vertical="center" indent="2"/>
    </xf>
    <xf numFmtId="0" fontId="3" fillId="3" borderId="1" xfId="0" applyFont="1" applyFill="1" applyBorder="1" applyAlignment="1">
      <alignment horizontal="center" vertical="center" indent="1"/>
    </xf>
    <xf numFmtId="0" fontId="3" fillId="0" borderId="1" xfId="0" applyFont="1" applyBorder="1" applyAlignment="1">
      <alignment horizontal="center" vertical="center" wrapText="1" indent="1"/>
    </xf>
    <xf numFmtId="0" fontId="12" fillId="11" borderId="0" xfId="0" applyFont="1" applyFill="1"/>
    <xf numFmtId="0" fontId="14" fillId="12" borderId="0" xfId="0" applyFont="1" applyFill="1"/>
    <xf numFmtId="0" fontId="14" fillId="13" borderId="0" xfId="0" applyFont="1" applyFill="1"/>
    <xf numFmtId="0" fontId="11" fillId="11" borderId="1" xfId="0" applyFont="1" applyFill="1" applyBorder="1"/>
    <xf numFmtId="0" fontId="3" fillId="11" borderId="1" xfId="0" applyFont="1" applyFill="1" applyBorder="1"/>
    <xf numFmtId="0" fontId="3" fillId="11" borderId="3" xfId="0" applyFont="1" applyFill="1" applyBorder="1"/>
    <xf numFmtId="0" fontId="3" fillId="11" borderId="2" xfId="0" applyFont="1" applyFill="1" applyBorder="1"/>
    <xf numFmtId="0" fontId="13" fillId="14" borderId="0" xfId="0" applyFont="1" applyFill="1"/>
    <xf numFmtId="0" fontId="3" fillId="9" borderId="1" xfId="0" applyFont="1" applyFill="1" applyBorder="1"/>
    <xf numFmtId="0" fontId="3" fillId="9" borderId="3" xfId="0" applyFont="1" applyFill="1" applyBorder="1"/>
    <xf numFmtId="0" fontId="3" fillId="9" borderId="2" xfId="0" applyFont="1" applyFill="1" applyBorder="1"/>
    <xf numFmtId="0" fontId="3" fillId="9" borderId="20" xfId="0" applyFont="1" applyFill="1" applyBorder="1"/>
    <xf numFmtId="0" fontId="11" fillId="9" borderId="1" xfId="0" applyFont="1" applyFill="1" applyBorder="1"/>
    <xf numFmtId="165" fontId="3" fillId="0" borderId="36" xfId="0" applyNumberFormat="1" applyFont="1" applyBorder="1" applyAlignment="1">
      <alignment horizontal="center" vertical="center"/>
    </xf>
    <xf numFmtId="9" fontId="5" fillId="0" borderId="36" xfId="1" applyFont="1" applyBorder="1" applyAlignment="1">
      <alignment horizontal="center" vertical="center"/>
    </xf>
    <xf numFmtId="0" fontId="3" fillId="0" borderId="37" xfId="0" applyFont="1" applyBorder="1"/>
    <xf numFmtId="0" fontId="3" fillId="9" borderId="36" xfId="0" applyFont="1" applyFill="1" applyBorder="1"/>
    <xf numFmtId="0" fontId="3" fillId="13" borderId="2" xfId="0" applyFont="1" applyFill="1" applyBorder="1"/>
    <xf numFmtId="0" fontId="3" fillId="13" borderId="1" xfId="0" applyFont="1" applyFill="1" applyBorder="1"/>
    <xf numFmtId="0" fontId="3" fillId="0" borderId="1" xfId="0" applyFont="1" applyFill="1" applyBorder="1"/>
    <xf numFmtId="0" fontId="3" fillId="12" borderId="1" xfId="0" applyFont="1" applyFill="1" applyBorder="1"/>
    <xf numFmtId="0" fontId="15" fillId="12" borderId="1" xfId="0" applyFont="1" applyFill="1" applyBorder="1"/>
    <xf numFmtId="0" fontId="16" fillId="9" borderId="1" xfId="0" applyFont="1" applyFill="1" applyBorder="1"/>
    <xf numFmtId="0" fontId="15" fillId="13" borderId="1" xfId="0" applyFont="1" applyFill="1" applyBorder="1"/>
    <xf numFmtId="0" fontId="15" fillId="11" borderId="1" xfId="0" applyFont="1" applyFill="1" applyBorder="1"/>
    <xf numFmtId="0" fontId="15" fillId="15" borderId="1" xfId="0" applyFont="1" applyFill="1" applyBorder="1"/>
    <xf numFmtId="0" fontId="3" fillId="11" borderId="36" xfId="0" applyFont="1" applyFill="1" applyBorder="1"/>
    <xf numFmtId="0" fontId="3" fillId="12" borderId="3" xfId="0" applyFont="1" applyFill="1" applyBorder="1"/>
    <xf numFmtId="0" fontId="3" fillId="12" borderId="2" xfId="0" applyFont="1" applyFill="1" applyBorder="1"/>
    <xf numFmtId="0" fontId="3" fillId="0" borderId="2" xfId="0" applyFont="1" applyFill="1" applyBorder="1"/>
    <xf numFmtId="0" fontId="3" fillId="13" borderId="3" xfId="0" applyFont="1" applyFill="1" applyBorder="1"/>
    <xf numFmtId="0" fontId="3" fillId="12" borderId="17" xfId="0" applyFont="1" applyFill="1" applyBorder="1"/>
    <xf numFmtId="0" fontId="15" fillId="0" borderId="1" xfId="0" applyFont="1" applyFill="1" applyBorder="1"/>
    <xf numFmtId="0" fontId="3" fillId="0" borderId="20" xfId="0" applyFont="1" applyFill="1" applyBorder="1"/>
    <xf numFmtId="0" fontId="16" fillId="13" borderId="1" xfId="0" applyFont="1" applyFill="1" applyBorder="1"/>
    <xf numFmtId="165" fontId="3" fillId="9" borderId="20" xfId="0" applyNumberFormat="1" applyFont="1" applyFill="1" applyBorder="1" applyAlignment="1">
      <alignment horizontal="center" vertical="center"/>
    </xf>
    <xf numFmtId="0" fontId="15" fillId="14" borderId="1" xfId="0" applyFont="1" applyFill="1" applyBorder="1"/>
    <xf numFmtId="0" fontId="15" fillId="14" borderId="3" xfId="0" applyFont="1" applyFill="1" applyBorder="1"/>
    <xf numFmtId="0" fontId="15" fillId="14" borderId="2" xfId="0" applyFont="1" applyFill="1" applyBorder="1"/>
    <xf numFmtId="0" fontId="3" fillId="14" borderId="1" xfId="0" applyFont="1" applyFill="1" applyBorder="1"/>
    <xf numFmtId="0" fontId="17" fillId="11" borderId="1" xfId="0" applyFont="1" applyFill="1" applyBorder="1"/>
    <xf numFmtId="0" fontId="16" fillId="13" borderId="3" xfId="0" applyFont="1" applyFill="1" applyBorder="1"/>
    <xf numFmtId="0" fontId="16" fillId="13" borderId="2" xfId="0" applyFont="1" applyFill="1" applyBorder="1"/>
    <xf numFmtId="0" fontId="18" fillId="9" borderId="17" xfId="0" applyFont="1" applyFill="1" applyBorder="1"/>
    <xf numFmtId="0" fontId="3" fillId="14" borderId="3" xfId="0" applyFont="1" applyFill="1" applyBorder="1"/>
    <xf numFmtId="0" fontId="3" fillId="14" borderId="2" xfId="0" applyFont="1" applyFill="1" applyBorder="1"/>
    <xf numFmtId="0" fontId="3" fillId="0" borderId="31" xfId="0" applyFont="1" applyBorder="1" applyAlignment="1">
      <alignment horizontal="left" vertical="center" indent="1"/>
    </xf>
    <xf numFmtId="0" fontId="8" fillId="9" borderId="35" xfId="0" applyFont="1" applyFill="1" applyBorder="1" applyAlignment="1">
      <alignment horizontal="center" vertical="center" wrapText="1"/>
    </xf>
    <xf numFmtId="14" fontId="9" fillId="10" borderId="34" xfId="0" applyNumberFormat="1" applyFont="1" applyFill="1" applyBorder="1" applyAlignment="1">
      <alignment horizontal="center" vertical="center"/>
    </xf>
    <xf numFmtId="14" fontId="9" fillId="10" borderId="32" xfId="0" applyNumberFormat="1" applyFont="1" applyFill="1" applyBorder="1" applyAlignment="1">
      <alignment horizontal="center" vertical="center"/>
    </xf>
    <xf numFmtId="14" fontId="9" fillId="10" borderId="33" xfId="0" applyNumberFormat="1" applyFont="1" applyFill="1" applyBorder="1" applyAlignment="1">
      <alignment horizontal="center" vertical="center"/>
    </xf>
    <xf numFmtId="14" fontId="9" fillId="10" borderId="14" xfId="0" applyNumberFormat="1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left" vertical="center" wrapText="1" indent="1"/>
    </xf>
  </cellXfs>
  <cellStyles count="3">
    <cellStyle name="Normal 2" xfId="2" xr:uid="{00000000-0005-0000-0000-000001000000}"/>
    <cellStyle name="Normalny" xfId="0" builtinId="0"/>
    <cellStyle name="Procentowy" xfId="1" builtinId="5"/>
  </cellStyles>
  <dxfs count="0"/>
  <tableStyles count="0" defaultTableStyle="TableStyleMedium9" defaultPivotStyle="PivotStyleMedium7"/>
  <colors>
    <mruColors>
      <color rgb="FF732EE0"/>
      <color rgb="FF6A3AFF"/>
      <color rgb="FFEE57AD"/>
      <color rgb="FF01BD32"/>
      <color rgb="FFEAEEF3"/>
      <color rgb="FFFFC11D"/>
      <color rgb="FFED7C0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BP64"/>
  <sheetViews>
    <sheetView showGridLines="0" tabSelected="1" workbookViewId="0">
      <pane ySplit="6" topLeftCell="A29" activePane="bottomLeft" state="frozen"/>
      <selection pane="bottomLeft" activeCell="C44" sqref="C44"/>
    </sheetView>
  </sheetViews>
  <sheetFormatPr defaultColWidth="10.875" defaultRowHeight="15.75"/>
  <cols>
    <col min="1" max="1" width="2.5" customWidth="1"/>
    <col min="2" max="2" width="11" customWidth="1"/>
    <col min="3" max="3" width="47.125" customWidth="1"/>
    <col min="4" max="4" width="11.625" customWidth="1"/>
    <col min="5" max="7" width="9.875" customWidth="1"/>
    <col min="8" max="8" width="14.5" customWidth="1"/>
    <col min="9" max="68" width="3.375" customWidth="1"/>
  </cols>
  <sheetData>
    <row r="1" spans="2:68" s="29" customFormat="1" ht="50.1" customHeight="1">
      <c r="B1" s="122" t="s">
        <v>0</v>
      </c>
      <c r="C1" s="122"/>
      <c r="D1" s="30"/>
      <c r="E1" s="30"/>
      <c r="F1" s="30"/>
      <c r="G1" s="30"/>
      <c r="H1" s="30"/>
      <c r="I1" s="30"/>
      <c r="J1" s="30"/>
      <c r="K1" s="30"/>
      <c r="L1" s="30"/>
      <c r="M1" s="31"/>
      <c r="N1"/>
      <c r="O1"/>
      <c r="P1"/>
      <c r="Q1" s="31"/>
      <c r="R1" s="31"/>
      <c r="S1" s="31"/>
    </row>
    <row r="2" spans="2:68" s="1" customFormat="1" ht="32.1" customHeight="1">
      <c r="B2" s="127" t="s">
        <v>1</v>
      </c>
      <c r="C2" s="127"/>
      <c r="D2" s="121" t="s">
        <v>2</v>
      </c>
      <c r="E2" s="121"/>
      <c r="F2" s="121"/>
      <c r="G2" s="121"/>
      <c r="H2" s="121"/>
    </row>
    <row r="3" spans="2:68" s="1" customFormat="1" ht="32.1" customHeight="1">
      <c r="B3" s="127" t="s">
        <v>3</v>
      </c>
      <c r="C3" s="127"/>
      <c r="D3" s="121" t="s">
        <v>4</v>
      </c>
      <c r="E3" s="121"/>
      <c r="F3" s="121"/>
      <c r="G3" s="121"/>
      <c r="H3" s="121"/>
    </row>
    <row r="4" spans="2:68" s="1" customFormat="1" ht="18" customHeight="1">
      <c r="B4" s="2"/>
    </row>
    <row r="5" spans="2:68" ht="20.100000000000001" customHeight="1">
      <c r="B5" s="3" t="s">
        <v>5</v>
      </c>
      <c r="C5" s="4" t="s">
        <v>5</v>
      </c>
      <c r="D5" s="4" t="s">
        <v>5</v>
      </c>
      <c r="E5" s="56" t="s">
        <v>6</v>
      </c>
      <c r="F5" s="57" t="s">
        <v>7</v>
      </c>
      <c r="G5" s="5" t="s">
        <v>8</v>
      </c>
      <c r="H5" s="44" t="s">
        <v>9</v>
      </c>
      <c r="I5" s="123">
        <v>46076</v>
      </c>
      <c r="J5" s="124"/>
      <c r="K5" s="124"/>
      <c r="L5" s="124"/>
      <c r="M5" s="126"/>
      <c r="N5" s="123">
        <v>46083</v>
      </c>
      <c r="O5" s="124"/>
      <c r="P5" s="124"/>
      <c r="Q5" s="124"/>
      <c r="R5" s="125"/>
      <c r="S5" s="123">
        <v>46090</v>
      </c>
      <c r="T5" s="124"/>
      <c r="U5" s="124"/>
      <c r="V5" s="124"/>
      <c r="W5" s="125"/>
      <c r="X5" s="123">
        <v>46097</v>
      </c>
      <c r="Y5" s="124"/>
      <c r="Z5" s="124"/>
      <c r="AA5" s="124"/>
      <c r="AB5" s="126"/>
      <c r="AC5" s="123">
        <v>46104</v>
      </c>
      <c r="AD5" s="124"/>
      <c r="AE5" s="124"/>
      <c r="AF5" s="124"/>
      <c r="AG5" s="125"/>
      <c r="AH5" s="123">
        <v>46111</v>
      </c>
      <c r="AI5" s="124"/>
      <c r="AJ5" s="124"/>
      <c r="AK5" s="124"/>
      <c r="AL5" s="125"/>
      <c r="AM5" s="123">
        <v>46118</v>
      </c>
      <c r="AN5" s="124"/>
      <c r="AO5" s="124"/>
      <c r="AP5" s="124"/>
      <c r="AQ5" s="126"/>
      <c r="AR5" s="123">
        <v>46125</v>
      </c>
      <c r="AS5" s="124"/>
      <c r="AT5" s="124"/>
      <c r="AU5" s="124"/>
      <c r="AV5" s="125"/>
      <c r="AW5" s="123">
        <v>46132</v>
      </c>
      <c r="AX5" s="124"/>
      <c r="AY5" s="124"/>
      <c r="AZ5" s="124"/>
      <c r="BA5" s="125"/>
      <c r="BB5" s="123">
        <v>46139</v>
      </c>
      <c r="BC5" s="124"/>
      <c r="BD5" s="124"/>
      <c r="BE5" s="124"/>
      <c r="BF5" s="126"/>
      <c r="BG5" s="123">
        <v>46146</v>
      </c>
      <c r="BH5" s="124"/>
      <c r="BI5" s="124"/>
      <c r="BJ5" s="124"/>
      <c r="BK5" s="125"/>
      <c r="BL5" s="123">
        <v>46153</v>
      </c>
      <c r="BM5" s="124"/>
      <c r="BN5" s="124"/>
      <c r="BO5" s="124"/>
      <c r="BP5" s="125"/>
    </row>
    <row r="6" spans="2:68" ht="20.100000000000001" customHeight="1">
      <c r="B6" s="6" t="s">
        <v>10</v>
      </c>
      <c r="C6" s="7" t="s">
        <v>11</v>
      </c>
      <c r="D6" s="7" t="s">
        <v>12</v>
      </c>
      <c r="E6" s="58" t="s">
        <v>13</v>
      </c>
      <c r="F6" s="59" t="s">
        <v>13</v>
      </c>
      <c r="G6" s="8" t="s">
        <v>14</v>
      </c>
      <c r="H6" s="45"/>
      <c r="I6" s="9" t="s">
        <v>15</v>
      </c>
      <c r="J6" s="10" t="s">
        <v>16</v>
      </c>
      <c r="K6" s="10" t="s">
        <v>17</v>
      </c>
      <c r="L6" s="10" t="s">
        <v>18</v>
      </c>
      <c r="M6" s="10" t="s">
        <v>19</v>
      </c>
      <c r="N6" s="10" t="s">
        <v>15</v>
      </c>
      <c r="O6" s="10" t="s">
        <v>16</v>
      </c>
      <c r="P6" s="10" t="s">
        <v>17</v>
      </c>
      <c r="Q6" s="10" t="s">
        <v>18</v>
      </c>
      <c r="R6" s="10" t="s">
        <v>19</v>
      </c>
      <c r="S6" s="10" t="s">
        <v>15</v>
      </c>
      <c r="T6" s="10" t="s">
        <v>16</v>
      </c>
      <c r="U6" s="10" t="s">
        <v>17</v>
      </c>
      <c r="V6" s="10" t="s">
        <v>18</v>
      </c>
      <c r="W6" s="11" t="s">
        <v>19</v>
      </c>
      <c r="X6" s="12" t="s">
        <v>15</v>
      </c>
      <c r="Y6" s="13" t="s">
        <v>16</v>
      </c>
      <c r="Z6" s="13" t="s">
        <v>17</v>
      </c>
      <c r="AA6" s="13" t="s">
        <v>18</v>
      </c>
      <c r="AB6" s="13" t="s">
        <v>19</v>
      </c>
      <c r="AC6" s="13" t="s">
        <v>15</v>
      </c>
      <c r="AD6" s="13" t="s">
        <v>16</v>
      </c>
      <c r="AE6" s="13" t="s">
        <v>17</v>
      </c>
      <c r="AF6" s="13" t="s">
        <v>18</v>
      </c>
      <c r="AG6" s="13" t="s">
        <v>19</v>
      </c>
      <c r="AH6" s="13" t="s">
        <v>15</v>
      </c>
      <c r="AI6" s="13" t="s">
        <v>16</v>
      </c>
      <c r="AJ6" s="13" t="s">
        <v>17</v>
      </c>
      <c r="AK6" s="13" t="s">
        <v>18</v>
      </c>
      <c r="AL6" s="14" t="s">
        <v>19</v>
      </c>
      <c r="AM6" s="26" t="s">
        <v>15</v>
      </c>
      <c r="AN6" s="27" t="s">
        <v>16</v>
      </c>
      <c r="AO6" s="27" t="s">
        <v>17</v>
      </c>
      <c r="AP6" s="27" t="s">
        <v>18</v>
      </c>
      <c r="AQ6" s="27" t="s">
        <v>19</v>
      </c>
      <c r="AR6" s="27" t="s">
        <v>15</v>
      </c>
      <c r="AS6" s="27" t="s">
        <v>16</v>
      </c>
      <c r="AT6" s="27" t="s">
        <v>17</v>
      </c>
      <c r="AU6" s="27" t="s">
        <v>18</v>
      </c>
      <c r="AV6" s="27" t="s">
        <v>19</v>
      </c>
      <c r="AW6" s="27" t="s">
        <v>15</v>
      </c>
      <c r="AX6" s="27" t="s">
        <v>16</v>
      </c>
      <c r="AY6" s="27" t="s">
        <v>17</v>
      </c>
      <c r="AZ6" s="27" t="s">
        <v>18</v>
      </c>
      <c r="BA6" s="28" t="s">
        <v>19</v>
      </c>
      <c r="BB6" s="15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7"/>
    </row>
    <row r="7" spans="2:68" ht="20.100000000000001" customHeight="1">
      <c r="B7" s="32">
        <v>1</v>
      </c>
      <c r="C7" s="33" t="s">
        <v>20</v>
      </c>
      <c r="D7" s="34"/>
      <c r="E7" s="51"/>
      <c r="F7" s="49"/>
      <c r="G7" s="35" t="str">
        <f>IF(F7-E7=0,"",F7-E7)</f>
        <v/>
      </c>
      <c r="H7" s="46"/>
      <c r="I7" s="42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0"/>
      <c r="X7" s="18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0"/>
      <c r="AM7" s="18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20"/>
      <c r="BB7" s="18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21"/>
    </row>
    <row r="8" spans="2:68" ht="33.75" customHeight="1">
      <c r="B8" s="36">
        <v>1.1000000000000001</v>
      </c>
      <c r="C8" s="66" t="s">
        <v>21</v>
      </c>
      <c r="D8" s="71" t="s">
        <v>22</v>
      </c>
      <c r="E8" s="68">
        <v>46078</v>
      </c>
      <c r="F8" s="69">
        <v>46084</v>
      </c>
      <c r="G8" s="55">
        <f t="shared" ref="G8:G33" si="0">IF(F8-E8=0,"",F8-E8)</f>
        <v>6</v>
      </c>
      <c r="H8" s="47"/>
      <c r="I8" s="86"/>
      <c r="J8" s="83"/>
      <c r="K8" s="83"/>
      <c r="L8" s="83"/>
      <c r="M8" s="83"/>
      <c r="N8" s="83"/>
      <c r="O8" s="100"/>
      <c r="P8" s="99"/>
      <c r="Q8" s="99"/>
      <c r="R8" s="99"/>
      <c r="S8" s="79"/>
      <c r="T8" s="79"/>
      <c r="U8" s="83"/>
      <c r="V8" s="23"/>
      <c r="W8" s="24"/>
      <c r="X8" s="22"/>
      <c r="Y8" s="23"/>
      <c r="Z8" s="23"/>
      <c r="AA8" s="23"/>
      <c r="AB8" s="23"/>
      <c r="AC8" s="83"/>
      <c r="AD8" s="83"/>
      <c r="AE8" s="83"/>
      <c r="AF8" s="83"/>
      <c r="AG8" s="83"/>
      <c r="AH8" s="83"/>
      <c r="AI8" s="83"/>
      <c r="AJ8" s="83"/>
      <c r="AK8" s="83"/>
      <c r="AL8" s="84"/>
      <c r="AM8" s="85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4"/>
      <c r="BB8" s="85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23"/>
      <c r="BP8" s="25"/>
    </row>
    <row r="9" spans="2:68" ht="20.100000000000001" customHeight="1">
      <c r="B9" s="36" t="s">
        <v>23</v>
      </c>
      <c r="C9" s="66" t="s">
        <v>24</v>
      </c>
      <c r="D9" s="72" t="s">
        <v>25</v>
      </c>
      <c r="E9" s="68">
        <v>46084</v>
      </c>
      <c r="F9" s="69">
        <v>46091</v>
      </c>
      <c r="G9" s="55">
        <f t="shared" si="0"/>
        <v>7</v>
      </c>
      <c r="H9" s="47"/>
      <c r="I9" s="86"/>
      <c r="J9" s="83"/>
      <c r="K9" s="83"/>
      <c r="L9" s="83"/>
      <c r="M9" s="87"/>
      <c r="N9" s="87"/>
      <c r="O9" s="100"/>
      <c r="P9" s="99"/>
      <c r="Q9" s="99"/>
      <c r="R9" s="99"/>
      <c r="S9" s="78"/>
      <c r="T9" s="78"/>
      <c r="U9" s="60"/>
      <c r="V9" s="60"/>
      <c r="W9" s="61"/>
      <c r="X9" s="62"/>
      <c r="Y9" s="23"/>
      <c r="Z9" s="23"/>
      <c r="AA9" s="23"/>
      <c r="AB9" s="23"/>
      <c r="AC9" s="83"/>
      <c r="AD9" s="83"/>
      <c r="AE9" s="83"/>
      <c r="AF9" s="83"/>
      <c r="AG9" s="83"/>
      <c r="AH9" s="83"/>
      <c r="AI9" s="83"/>
      <c r="AJ9" s="83"/>
      <c r="AK9" s="83"/>
      <c r="AL9" s="84"/>
      <c r="AM9" s="85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4"/>
      <c r="BB9" s="85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23"/>
      <c r="BP9" s="25"/>
    </row>
    <row r="10" spans="2:68" ht="20.100000000000001" customHeight="1">
      <c r="B10" s="36">
        <v>1.2</v>
      </c>
      <c r="C10" s="66" t="s">
        <v>26</v>
      </c>
      <c r="D10" s="71" t="s">
        <v>25</v>
      </c>
      <c r="E10" s="68">
        <v>46091</v>
      </c>
      <c r="F10" s="69">
        <v>46098</v>
      </c>
      <c r="G10" s="55">
        <f t="shared" si="0"/>
        <v>7</v>
      </c>
      <c r="H10" s="47"/>
      <c r="I10" s="43"/>
      <c r="J10" s="23"/>
      <c r="K10" s="23"/>
      <c r="L10" s="23"/>
      <c r="M10" s="23"/>
      <c r="N10" s="83"/>
      <c r="O10" s="83"/>
      <c r="P10" s="83"/>
      <c r="Q10" s="83"/>
      <c r="R10" s="83"/>
      <c r="S10" s="83"/>
      <c r="T10" s="79"/>
      <c r="U10" s="79"/>
      <c r="V10" s="79"/>
      <c r="W10" s="80"/>
      <c r="X10" s="81"/>
      <c r="Y10" s="79"/>
      <c r="Z10" s="23"/>
      <c r="AA10" s="23"/>
      <c r="AB10" s="23"/>
      <c r="AC10" s="83"/>
      <c r="AD10" s="83"/>
      <c r="AE10" s="83"/>
      <c r="AF10" s="83"/>
      <c r="AG10" s="83"/>
      <c r="AH10" s="83"/>
      <c r="AI10" s="83"/>
      <c r="AJ10" s="83"/>
      <c r="AK10" s="83"/>
      <c r="AL10" s="84"/>
      <c r="AM10" s="85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4"/>
      <c r="BB10" s="85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23"/>
      <c r="BP10" s="25"/>
    </row>
    <row r="11" spans="2:68" ht="36.75" customHeight="1">
      <c r="B11" s="36">
        <v>1.3</v>
      </c>
      <c r="C11" s="66" t="s">
        <v>27</v>
      </c>
      <c r="D11" s="71" t="s">
        <v>25</v>
      </c>
      <c r="E11" s="68">
        <v>46098</v>
      </c>
      <c r="F11" s="69">
        <v>46105</v>
      </c>
      <c r="G11" s="55">
        <f t="shared" si="0"/>
        <v>7</v>
      </c>
      <c r="H11" s="47"/>
      <c r="I11" s="43"/>
      <c r="J11" s="23"/>
      <c r="K11" s="23"/>
      <c r="L11" s="23"/>
      <c r="M11" s="23"/>
      <c r="N11" s="83"/>
      <c r="O11" s="83"/>
      <c r="P11" s="83"/>
      <c r="Q11" s="83"/>
      <c r="R11" s="83"/>
      <c r="S11" s="83"/>
      <c r="T11" s="23"/>
      <c r="U11" s="23"/>
      <c r="V11" s="23"/>
      <c r="W11" s="24"/>
      <c r="X11" s="22"/>
      <c r="Y11" s="79"/>
      <c r="Z11" s="79"/>
      <c r="AA11" s="79"/>
      <c r="AB11" s="79"/>
      <c r="AC11" s="79"/>
      <c r="AD11" s="79"/>
      <c r="AE11" s="83"/>
      <c r="AF11" s="83"/>
      <c r="AG11" s="83"/>
      <c r="AH11" s="83"/>
      <c r="AI11" s="83"/>
      <c r="AJ11" s="83"/>
      <c r="AK11" s="83"/>
      <c r="AL11" s="84"/>
      <c r="AM11" s="85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4"/>
      <c r="BB11" s="85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23"/>
      <c r="BP11" s="25"/>
    </row>
    <row r="12" spans="2:68" ht="20.100000000000001" customHeight="1">
      <c r="B12" s="36">
        <v>1.4</v>
      </c>
      <c r="C12" s="66" t="s">
        <v>28</v>
      </c>
      <c r="D12" s="71" t="s">
        <v>29</v>
      </c>
      <c r="E12" s="68">
        <v>46078</v>
      </c>
      <c r="F12" s="69">
        <v>46092</v>
      </c>
      <c r="G12" s="55">
        <f t="shared" si="0"/>
        <v>14</v>
      </c>
      <c r="H12" s="47"/>
      <c r="I12" s="43"/>
      <c r="J12" s="23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83"/>
      <c r="W12" s="84"/>
      <c r="X12" s="85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4"/>
      <c r="AM12" s="85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4"/>
      <c r="BB12" s="85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23"/>
      <c r="BP12" s="25"/>
    </row>
    <row r="13" spans="2:68" ht="35.25" customHeight="1">
      <c r="B13" s="36">
        <v>1.5</v>
      </c>
      <c r="C13" s="66" t="s">
        <v>30</v>
      </c>
      <c r="D13" s="71" t="s">
        <v>31</v>
      </c>
      <c r="E13" s="68">
        <v>46084</v>
      </c>
      <c r="F13" s="69">
        <v>46105</v>
      </c>
      <c r="G13" s="55">
        <f t="shared" si="0"/>
        <v>21</v>
      </c>
      <c r="H13" s="47"/>
      <c r="I13" s="43"/>
      <c r="J13" s="23"/>
      <c r="K13" s="23"/>
      <c r="L13" s="23"/>
      <c r="M13" s="83"/>
      <c r="N13" s="83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107"/>
      <c r="AF13" s="83"/>
      <c r="AG13" s="83"/>
      <c r="AH13" s="83"/>
      <c r="AI13" s="83"/>
      <c r="AJ13" s="83"/>
      <c r="AK13" s="83"/>
      <c r="AL13" s="84"/>
      <c r="AM13" s="85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4"/>
      <c r="BB13" s="85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23"/>
      <c r="BP13" s="25"/>
    </row>
    <row r="14" spans="2:68" ht="20.100000000000001" customHeight="1">
      <c r="B14" s="36">
        <v>1.6</v>
      </c>
      <c r="C14" s="66" t="s">
        <v>32</v>
      </c>
      <c r="D14" s="71" t="s">
        <v>29</v>
      </c>
      <c r="E14" s="68">
        <v>46093</v>
      </c>
      <c r="F14" s="69">
        <v>46105</v>
      </c>
      <c r="G14" s="55">
        <v>12</v>
      </c>
      <c r="H14" s="47"/>
      <c r="I14" s="43"/>
      <c r="J14" s="23"/>
      <c r="K14" s="23"/>
      <c r="L14" s="23"/>
      <c r="M14" s="83"/>
      <c r="N14" s="83"/>
      <c r="O14" s="83"/>
      <c r="P14" s="83"/>
      <c r="Q14" s="83"/>
      <c r="R14" s="83"/>
      <c r="S14" s="83"/>
      <c r="T14" s="83"/>
      <c r="U14" s="83"/>
      <c r="V14" s="96"/>
      <c r="W14" s="96"/>
      <c r="X14" s="96"/>
      <c r="Y14" s="96"/>
      <c r="Z14" s="96"/>
      <c r="AA14" s="96"/>
      <c r="AB14" s="96"/>
      <c r="AC14" s="96"/>
      <c r="AD14" s="96"/>
      <c r="AE14" s="107"/>
      <c r="AF14" s="83"/>
      <c r="AG14" s="83"/>
      <c r="AH14" s="83"/>
      <c r="AI14" s="83"/>
      <c r="AJ14" s="83"/>
      <c r="AK14" s="83"/>
      <c r="AL14" s="84"/>
      <c r="AM14" s="85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4"/>
      <c r="BB14" s="85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23"/>
      <c r="BP14" s="25"/>
    </row>
    <row r="15" spans="2:68" ht="36.75" customHeight="1">
      <c r="B15" s="36" t="s">
        <v>33</v>
      </c>
      <c r="C15" s="66" t="s">
        <v>34</v>
      </c>
      <c r="D15" s="71" t="s">
        <v>31</v>
      </c>
      <c r="E15" s="68">
        <v>46097</v>
      </c>
      <c r="F15" s="69">
        <v>46101</v>
      </c>
      <c r="G15" s="55">
        <v>4</v>
      </c>
      <c r="H15" s="47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4"/>
      <c r="X15" s="92"/>
      <c r="Y15" s="93"/>
      <c r="Z15" s="93"/>
      <c r="AA15" s="93"/>
      <c r="AB15" s="93"/>
      <c r="AC15" s="83"/>
      <c r="AD15" s="83"/>
      <c r="AE15" s="83"/>
      <c r="AF15" s="83"/>
      <c r="AG15" s="83"/>
      <c r="AH15" s="83"/>
      <c r="AI15" s="83"/>
      <c r="AJ15" s="83"/>
      <c r="AK15" s="83"/>
      <c r="AL15" s="84"/>
      <c r="AM15" s="85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4"/>
      <c r="BB15" s="85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23"/>
      <c r="BP15" s="25"/>
    </row>
    <row r="16" spans="2:68" ht="36.75" customHeight="1">
      <c r="B16" s="36" t="s">
        <v>35</v>
      </c>
      <c r="C16" s="66" t="s">
        <v>36</v>
      </c>
      <c r="D16" s="71" t="s">
        <v>31</v>
      </c>
      <c r="E16" s="88">
        <v>46102</v>
      </c>
      <c r="F16" s="69">
        <v>46105</v>
      </c>
      <c r="G16" s="55">
        <v>3</v>
      </c>
      <c r="H16" s="47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4"/>
      <c r="X16" s="85"/>
      <c r="Y16" s="83"/>
      <c r="Z16" s="83"/>
      <c r="AA16" s="83"/>
      <c r="AB16" s="83"/>
      <c r="AC16" s="93"/>
      <c r="AD16" s="93"/>
      <c r="AE16" s="94"/>
      <c r="AF16" s="94"/>
      <c r="AG16" s="94"/>
      <c r="AH16" s="83"/>
      <c r="AI16" s="83"/>
      <c r="AJ16" s="83"/>
      <c r="AK16" s="83"/>
      <c r="AL16" s="84"/>
      <c r="AM16" s="85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4"/>
      <c r="BB16" s="85"/>
      <c r="BC16" s="83"/>
      <c r="BD16" s="83"/>
      <c r="BE16" s="83"/>
      <c r="BF16" s="83"/>
      <c r="BG16" s="83"/>
      <c r="BH16" s="83"/>
      <c r="BI16" s="83"/>
      <c r="BJ16" s="91"/>
      <c r="BK16" s="86"/>
      <c r="BL16" s="83"/>
      <c r="BM16" s="83"/>
      <c r="BN16" s="83"/>
      <c r="BO16" s="23"/>
      <c r="BP16" s="25"/>
    </row>
    <row r="17" spans="2:68" ht="36.75" customHeight="1">
      <c r="B17" s="36" t="s">
        <v>37</v>
      </c>
      <c r="C17" s="66" t="s">
        <v>38</v>
      </c>
      <c r="D17" s="71" t="s">
        <v>25</v>
      </c>
      <c r="E17" s="88">
        <v>46102</v>
      </c>
      <c r="F17" s="69">
        <v>46105</v>
      </c>
      <c r="G17" s="55">
        <v>3</v>
      </c>
      <c r="H17" s="47"/>
      <c r="I17" s="90"/>
      <c r="J17" s="43"/>
      <c r="K17" s="23"/>
      <c r="L17" s="2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4"/>
      <c r="X17" s="85"/>
      <c r="Y17" s="83"/>
      <c r="Z17" s="83"/>
      <c r="AA17" s="83"/>
      <c r="AB17" s="83"/>
      <c r="AC17" s="79"/>
      <c r="AD17" s="101"/>
      <c r="AE17" s="108"/>
      <c r="AF17" s="83"/>
      <c r="AG17" s="83"/>
      <c r="AH17" s="83"/>
      <c r="AI17" s="83"/>
      <c r="AJ17" s="83"/>
      <c r="AK17" s="83"/>
      <c r="AL17" s="84"/>
      <c r="AM17" s="85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4"/>
      <c r="BB17" s="85"/>
      <c r="BC17" s="83"/>
      <c r="BD17" s="83"/>
      <c r="BE17" s="83"/>
      <c r="BF17" s="83"/>
      <c r="BG17" s="83"/>
      <c r="BH17" s="83"/>
      <c r="BI17" s="83"/>
      <c r="BJ17" s="91"/>
      <c r="BK17" s="86"/>
      <c r="BL17" s="83"/>
      <c r="BM17" s="83"/>
      <c r="BN17" s="83"/>
      <c r="BO17" s="23"/>
      <c r="BP17" s="25"/>
    </row>
    <row r="18" spans="2:68" ht="20.100000000000001" customHeight="1">
      <c r="B18" s="36" t="s">
        <v>39</v>
      </c>
      <c r="C18" s="67" t="s">
        <v>40</v>
      </c>
      <c r="D18" s="73"/>
      <c r="E18" s="70"/>
      <c r="F18" s="70"/>
      <c r="G18" s="19"/>
      <c r="H18" s="19"/>
      <c r="I18" s="20"/>
      <c r="J18" s="18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20"/>
      <c r="X18" s="18"/>
      <c r="Y18" s="19"/>
      <c r="Z18" s="19"/>
      <c r="AA18" s="19"/>
      <c r="AB18" s="19"/>
      <c r="AC18" s="19"/>
      <c r="AD18" s="20"/>
      <c r="AE18" s="18"/>
      <c r="AF18" s="19"/>
      <c r="AG18" s="19"/>
      <c r="AH18" s="19"/>
      <c r="AI18" s="19"/>
      <c r="AJ18" s="19"/>
      <c r="AK18" s="19"/>
      <c r="AL18" s="20"/>
      <c r="AM18" s="18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20"/>
      <c r="BB18" s="18"/>
      <c r="BC18" s="19"/>
      <c r="BD18" s="19"/>
      <c r="BE18" s="19"/>
      <c r="BF18" s="19"/>
      <c r="BG18" s="19"/>
      <c r="BH18" s="19"/>
      <c r="BI18" s="19"/>
      <c r="BJ18" s="20"/>
      <c r="BK18" s="18"/>
      <c r="BL18" s="19"/>
      <c r="BM18" s="19"/>
      <c r="BN18" s="19"/>
      <c r="BO18" s="19"/>
      <c r="BP18" s="21"/>
    </row>
    <row r="19" spans="2:68" ht="36.75" customHeight="1">
      <c r="B19" s="36" t="s">
        <v>41</v>
      </c>
      <c r="C19" s="66" t="s">
        <v>42</v>
      </c>
      <c r="D19" s="71" t="s">
        <v>25</v>
      </c>
      <c r="E19" s="68">
        <v>46106</v>
      </c>
      <c r="F19" s="69">
        <v>46115</v>
      </c>
      <c r="G19" s="55">
        <f t="shared" si="0"/>
        <v>9</v>
      </c>
      <c r="H19" s="47"/>
      <c r="I19" s="43"/>
      <c r="J19" s="23"/>
      <c r="K19" s="2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4"/>
      <c r="X19" s="85"/>
      <c r="Y19" s="83"/>
      <c r="Z19" s="83"/>
      <c r="AA19" s="83"/>
      <c r="AB19" s="83"/>
      <c r="AC19" s="83"/>
      <c r="AD19" s="83"/>
      <c r="AE19" s="79"/>
      <c r="AF19" s="79"/>
      <c r="AG19" s="79"/>
      <c r="AH19" s="79"/>
      <c r="AI19" s="79"/>
      <c r="AJ19" s="79"/>
      <c r="AK19" s="79"/>
      <c r="AL19" s="84"/>
      <c r="AM19" s="85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4"/>
      <c r="BB19" s="85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23"/>
      <c r="BO19" s="23"/>
      <c r="BP19" s="25"/>
    </row>
    <row r="20" spans="2:68" ht="39.75" customHeight="1">
      <c r="B20" s="36" t="s">
        <v>43</v>
      </c>
      <c r="C20" s="66" t="s">
        <v>44</v>
      </c>
      <c r="D20" s="71" t="s">
        <v>25</v>
      </c>
      <c r="E20" s="68">
        <v>46115</v>
      </c>
      <c r="F20" s="69">
        <v>46122</v>
      </c>
      <c r="G20" s="55">
        <f t="shared" si="0"/>
        <v>7</v>
      </c>
      <c r="H20" s="47"/>
      <c r="I20" s="43"/>
      <c r="J20" s="23"/>
      <c r="K20" s="2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4"/>
      <c r="X20" s="85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0"/>
      <c r="AM20" s="81"/>
      <c r="AN20" s="79"/>
      <c r="AO20" s="79"/>
      <c r="AP20" s="79"/>
      <c r="AQ20" s="79"/>
      <c r="AR20" s="83"/>
      <c r="AS20" s="83"/>
      <c r="AT20" s="83"/>
      <c r="AU20" s="83"/>
      <c r="AV20" s="83"/>
      <c r="AW20" s="83"/>
      <c r="AX20" s="83"/>
      <c r="AY20" s="83"/>
      <c r="AZ20" s="83"/>
      <c r="BA20" s="84"/>
      <c r="BB20" s="85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23"/>
      <c r="BO20" s="23"/>
      <c r="BP20" s="25"/>
    </row>
    <row r="21" spans="2:68" ht="20.100000000000001" customHeight="1">
      <c r="B21" s="36" t="s">
        <v>45</v>
      </c>
      <c r="C21" s="66" t="s">
        <v>46</v>
      </c>
      <c r="D21" s="71" t="s">
        <v>31</v>
      </c>
      <c r="E21" s="68">
        <v>46107</v>
      </c>
      <c r="F21" s="69">
        <v>46122</v>
      </c>
      <c r="G21" s="55"/>
      <c r="H21" s="47"/>
      <c r="I21" s="43"/>
      <c r="J21" s="23"/>
      <c r="K21" s="2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4"/>
      <c r="X21" s="85"/>
      <c r="Y21" s="83"/>
      <c r="Z21" s="83"/>
      <c r="AA21" s="83"/>
      <c r="AB21" s="83"/>
      <c r="AC21" s="83"/>
      <c r="AD21" s="83"/>
      <c r="AE21" s="97"/>
      <c r="AF21" s="93"/>
      <c r="AG21" s="93"/>
      <c r="AH21" s="93"/>
      <c r="AI21" s="93"/>
      <c r="AJ21" s="93"/>
      <c r="AK21" s="93"/>
      <c r="AL21" s="105"/>
      <c r="AM21" s="92"/>
      <c r="AN21" s="93"/>
      <c r="AO21" s="93"/>
      <c r="AP21" s="93"/>
      <c r="AQ21" s="93"/>
      <c r="AR21" s="83"/>
      <c r="AS21" s="83"/>
      <c r="AT21" s="83"/>
      <c r="AU21" s="83"/>
      <c r="AV21" s="83"/>
      <c r="AW21" s="83"/>
      <c r="AX21" s="83"/>
      <c r="AY21" s="83"/>
      <c r="AZ21" s="83"/>
      <c r="BA21" s="84"/>
      <c r="BB21" s="85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23"/>
      <c r="BO21" s="23"/>
      <c r="BP21" s="25"/>
    </row>
    <row r="22" spans="2:68" ht="48.75" customHeight="1">
      <c r="B22" s="36" t="s">
        <v>47</v>
      </c>
      <c r="C22" s="66" t="s">
        <v>48</v>
      </c>
      <c r="D22" s="71" t="s">
        <v>31</v>
      </c>
      <c r="E22" s="68">
        <v>46125</v>
      </c>
      <c r="F22" s="69">
        <v>46133</v>
      </c>
      <c r="G22" s="55">
        <f>IF(F22-E22=0,"",F22-E22)</f>
        <v>8</v>
      </c>
      <c r="H22" s="47"/>
      <c r="I22" s="43"/>
      <c r="J22" s="23"/>
      <c r="K22" s="2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4"/>
      <c r="X22" s="85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4"/>
      <c r="AM22" s="104"/>
      <c r="AN22" s="94"/>
      <c r="AO22" s="94"/>
      <c r="AP22" s="94"/>
      <c r="AQ22" s="94"/>
      <c r="AR22" s="109"/>
      <c r="AS22" s="109"/>
      <c r="AT22" s="109"/>
      <c r="AU22" s="109"/>
      <c r="AV22" s="109"/>
      <c r="AW22" s="109"/>
      <c r="AX22" s="93"/>
      <c r="AY22" s="94"/>
      <c r="AZ22" s="23"/>
      <c r="BA22" s="24"/>
      <c r="BB22" s="22"/>
      <c r="BC22" s="23"/>
      <c r="BD22" s="23"/>
      <c r="BE22" s="23"/>
      <c r="BF22" s="83"/>
      <c r="BG22" s="83"/>
      <c r="BH22" s="83"/>
      <c r="BI22" s="83"/>
      <c r="BJ22" s="83"/>
      <c r="BK22" s="83"/>
      <c r="BL22" s="83"/>
      <c r="BM22" s="23"/>
      <c r="BN22" s="23"/>
      <c r="BO22" s="23"/>
      <c r="BP22" s="25"/>
    </row>
    <row r="23" spans="2:68" ht="20.100000000000001" customHeight="1">
      <c r="B23" s="36" t="s">
        <v>49</v>
      </c>
      <c r="C23" s="66" t="s">
        <v>50</v>
      </c>
      <c r="D23" s="71" t="s">
        <v>25</v>
      </c>
      <c r="E23" s="68">
        <v>46115</v>
      </c>
      <c r="F23" s="69">
        <v>46122</v>
      </c>
      <c r="G23" s="55">
        <f t="shared" si="0"/>
        <v>7</v>
      </c>
      <c r="H23" s="47"/>
      <c r="I23" s="43"/>
      <c r="J23" s="23"/>
      <c r="K23" s="2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4"/>
      <c r="X23" s="85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0"/>
      <c r="AM23" s="81"/>
      <c r="AN23" s="79"/>
      <c r="AO23" s="79"/>
      <c r="AP23" s="79"/>
      <c r="AQ23" s="79"/>
      <c r="AR23" s="83"/>
      <c r="AS23" s="83"/>
      <c r="AT23" s="83"/>
      <c r="AU23" s="83"/>
      <c r="AV23" s="83"/>
      <c r="AW23" s="83"/>
      <c r="AX23" s="83"/>
      <c r="AY23" s="83"/>
      <c r="AZ23" s="83"/>
      <c r="BA23" s="84"/>
      <c r="BB23" s="85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23"/>
      <c r="BP23" s="25"/>
    </row>
    <row r="24" spans="2:68" ht="20.100000000000001" customHeight="1">
      <c r="B24" s="36" t="s">
        <v>51</v>
      </c>
      <c r="C24" s="66" t="s">
        <v>52</v>
      </c>
      <c r="D24" s="71" t="s">
        <v>29</v>
      </c>
      <c r="E24" s="68">
        <v>46106</v>
      </c>
      <c r="F24" s="69">
        <v>46120</v>
      </c>
      <c r="G24" s="55">
        <f t="shared" si="0"/>
        <v>14</v>
      </c>
      <c r="H24" s="47"/>
      <c r="I24" s="43"/>
      <c r="J24" s="23"/>
      <c r="K24" s="2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4"/>
      <c r="X24" s="85"/>
      <c r="Y24" s="83"/>
      <c r="Z24" s="83"/>
      <c r="AA24" s="83"/>
      <c r="AB24" s="83"/>
      <c r="AC24" s="83"/>
      <c r="AD24" s="83"/>
      <c r="AE24" s="95"/>
      <c r="AF24" s="95"/>
      <c r="AG24" s="95"/>
      <c r="AH24" s="95"/>
      <c r="AI24" s="95"/>
      <c r="AJ24" s="95"/>
      <c r="AK24" s="95"/>
      <c r="AL24" s="102"/>
      <c r="AM24" s="103"/>
      <c r="AN24" s="95"/>
      <c r="AO24" s="95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4"/>
      <c r="BB24" s="85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23"/>
      <c r="BP24" s="25"/>
    </row>
    <row r="25" spans="2:68" ht="33.75" customHeight="1">
      <c r="B25" s="36" t="s">
        <v>53</v>
      </c>
      <c r="C25" s="66" t="s">
        <v>54</v>
      </c>
      <c r="D25" s="72" t="s">
        <v>29</v>
      </c>
      <c r="E25" s="88">
        <v>46121</v>
      </c>
      <c r="F25" s="69">
        <v>46128</v>
      </c>
      <c r="G25" s="55">
        <f>IF(F25-E25=0,"",F25-E25)</f>
        <v>7</v>
      </c>
      <c r="H25" s="47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4"/>
      <c r="X25" s="85"/>
      <c r="Y25" s="83"/>
      <c r="Z25" s="83"/>
      <c r="AA25" s="83"/>
      <c r="AB25" s="83"/>
      <c r="AC25" s="83"/>
      <c r="AD25" s="83"/>
      <c r="AE25" s="83"/>
      <c r="AF25" s="91"/>
      <c r="AG25" s="86"/>
      <c r="AH25" s="83"/>
      <c r="AI25" s="83"/>
      <c r="AJ25" s="83"/>
      <c r="AK25" s="83"/>
      <c r="AL25" s="84"/>
      <c r="AM25" s="85"/>
      <c r="AN25" s="83"/>
      <c r="AO25" s="83"/>
      <c r="AP25" s="95"/>
      <c r="AQ25" s="95"/>
      <c r="AR25" s="95"/>
      <c r="AS25" s="95"/>
      <c r="AT25" s="95"/>
      <c r="AU25" s="95"/>
      <c r="AV25" s="83"/>
      <c r="AW25" s="83"/>
      <c r="AX25" s="83"/>
      <c r="AY25" s="83"/>
      <c r="AZ25" s="83"/>
      <c r="BA25" s="84"/>
      <c r="BB25" s="85"/>
      <c r="BC25" s="83"/>
      <c r="BD25" s="83"/>
      <c r="BE25" s="83"/>
      <c r="BF25" s="83"/>
      <c r="BG25" s="83"/>
      <c r="BH25" s="83"/>
      <c r="BI25" s="91"/>
      <c r="BJ25" s="86"/>
      <c r="BK25" s="83"/>
      <c r="BL25" s="83"/>
      <c r="BM25" s="83"/>
      <c r="BN25" s="83"/>
      <c r="BO25" s="23"/>
      <c r="BP25" s="25"/>
    </row>
    <row r="26" spans="2:68" ht="49.5" customHeight="1">
      <c r="B26" s="36" t="s">
        <v>55</v>
      </c>
      <c r="C26" s="66" t="s">
        <v>56</v>
      </c>
      <c r="D26" s="72" t="s">
        <v>25</v>
      </c>
      <c r="E26" s="88">
        <v>46122</v>
      </c>
      <c r="F26" s="69">
        <v>46130</v>
      </c>
      <c r="G26" s="55">
        <f>IF(F26-E26=0,"",F26-E26)</f>
        <v>8</v>
      </c>
      <c r="H26" s="47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4"/>
      <c r="X26" s="85"/>
      <c r="Y26" s="83"/>
      <c r="Z26" s="83"/>
      <c r="AA26" s="83"/>
      <c r="AB26" s="83"/>
      <c r="AC26" s="83"/>
      <c r="AD26" s="83"/>
      <c r="AE26" s="83"/>
      <c r="AF26" s="91"/>
      <c r="AG26" s="86"/>
      <c r="AH26" s="83"/>
      <c r="AI26" s="83"/>
      <c r="AJ26" s="83"/>
      <c r="AK26" s="83"/>
      <c r="AL26" s="84"/>
      <c r="AM26" s="85"/>
      <c r="AN26" s="83"/>
      <c r="AO26" s="83"/>
      <c r="AP26" s="83"/>
      <c r="AQ26" s="79"/>
      <c r="AR26" s="79"/>
      <c r="AS26" s="99"/>
      <c r="AT26" s="99"/>
      <c r="AU26" s="99"/>
      <c r="AV26" s="99"/>
      <c r="AW26" s="79"/>
      <c r="AX26" s="83"/>
      <c r="AY26" s="83"/>
      <c r="AZ26" s="83"/>
      <c r="BA26" s="84"/>
      <c r="BB26" s="85"/>
      <c r="BC26" s="83"/>
      <c r="BD26" s="83"/>
      <c r="BE26" s="83"/>
      <c r="BF26" s="83"/>
      <c r="BG26" s="83"/>
      <c r="BH26" s="83"/>
      <c r="BI26" s="91"/>
      <c r="BJ26" s="86"/>
      <c r="BK26" s="83"/>
      <c r="BL26" s="83"/>
      <c r="BM26" s="83"/>
      <c r="BN26" s="83"/>
      <c r="BO26" s="23"/>
      <c r="BP26" s="25"/>
    </row>
    <row r="27" spans="2:68" ht="33.75" customHeight="1">
      <c r="B27" s="36" t="s">
        <v>57</v>
      </c>
      <c r="C27" s="66" t="s">
        <v>58</v>
      </c>
      <c r="D27" s="72" t="s">
        <v>29</v>
      </c>
      <c r="E27" s="88">
        <v>46129</v>
      </c>
      <c r="F27" s="69">
        <v>46133</v>
      </c>
      <c r="G27" s="55">
        <f>IF(F27-E27=0,"",F27-E27)</f>
        <v>4</v>
      </c>
      <c r="H27" s="89"/>
      <c r="I27" s="90"/>
      <c r="J27" s="43"/>
      <c r="K27" s="2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4"/>
      <c r="X27" s="85"/>
      <c r="Y27" s="83"/>
      <c r="Z27" s="83"/>
      <c r="AA27" s="83"/>
      <c r="AB27" s="83"/>
      <c r="AC27" s="83"/>
      <c r="AD27" s="83"/>
      <c r="AE27" s="83"/>
      <c r="AF27" s="91"/>
      <c r="AG27" s="86"/>
      <c r="AH27" s="83"/>
      <c r="AI27" s="83"/>
      <c r="AJ27" s="83"/>
      <c r="AK27" s="83"/>
      <c r="AL27" s="84"/>
      <c r="AM27" s="85"/>
      <c r="AN27" s="83"/>
      <c r="AO27" s="83"/>
      <c r="AP27" s="83"/>
      <c r="AQ27" s="83"/>
      <c r="AR27" s="83"/>
      <c r="AS27" s="83"/>
      <c r="AT27" s="83"/>
      <c r="AU27" s="83"/>
      <c r="AV27" s="95"/>
      <c r="AW27" s="95"/>
      <c r="AX27" s="95"/>
      <c r="AY27" s="94"/>
      <c r="AZ27" s="83"/>
      <c r="BA27" s="84"/>
      <c r="BB27" s="85"/>
      <c r="BC27" s="83"/>
      <c r="BD27" s="83"/>
      <c r="BE27" s="83"/>
      <c r="BF27" s="83"/>
      <c r="BG27" s="83"/>
      <c r="BH27" s="83"/>
      <c r="BI27" s="91"/>
      <c r="BJ27" s="86"/>
      <c r="BK27" s="83"/>
      <c r="BL27" s="83"/>
      <c r="BM27" s="83"/>
      <c r="BN27" s="83"/>
      <c r="BO27" s="23"/>
      <c r="BP27" s="25"/>
    </row>
    <row r="28" spans="2:68" ht="20.100000000000001" customHeight="1">
      <c r="B28" s="36" t="s">
        <v>59</v>
      </c>
      <c r="C28" s="67" t="s">
        <v>60</v>
      </c>
      <c r="D28" s="73"/>
      <c r="E28" s="70"/>
      <c r="F28" s="70"/>
      <c r="G28" s="19"/>
      <c r="H28" s="19"/>
      <c r="I28" s="20"/>
      <c r="J28" s="18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20"/>
      <c r="X28" s="18"/>
      <c r="Y28" s="19"/>
      <c r="Z28" s="19"/>
      <c r="AA28" s="19"/>
      <c r="AB28" s="19"/>
      <c r="AC28" s="19"/>
      <c r="AD28" s="19"/>
      <c r="AE28" s="19"/>
      <c r="AF28" s="20"/>
      <c r="AG28" s="18"/>
      <c r="AH28" s="19"/>
      <c r="AI28" s="19"/>
      <c r="AJ28" s="19"/>
      <c r="AK28" s="19"/>
      <c r="AL28" s="20"/>
      <c r="AM28" s="18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20"/>
      <c r="BB28" s="18"/>
      <c r="BC28" s="19"/>
      <c r="BD28" s="19"/>
      <c r="BE28" s="19"/>
      <c r="BF28" s="19"/>
      <c r="BG28" s="19"/>
      <c r="BH28" s="19"/>
      <c r="BI28" s="20"/>
      <c r="BJ28" s="18"/>
      <c r="BK28" s="19"/>
      <c r="BL28" s="19"/>
      <c r="BM28" s="19"/>
      <c r="BN28" s="19"/>
      <c r="BO28" s="19"/>
      <c r="BP28" s="21"/>
    </row>
    <row r="29" spans="2:68" ht="38.25" customHeight="1">
      <c r="B29" s="36" t="s">
        <v>61</v>
      </c>
      <c r="C29" s="66" t="s">
        <v>62</v>
      </c>
      <c r="D29" s="74" t="s">
        <v>63</v>
      </c>
      <c r="E29" s="68">
        <v>46134</v>
      </c>
      <c r="F29" s="69">
        <v>46155</v>
      </c>
      <c r="G29" s="55">
        <f>IF(F29-E29=0,"",F29-E29)</f>
        <v>21</v>
      </c>
      <c r="H29" s="47"/>
      <c r="I29" s="43"/>
      <c r="J29" s="2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4"/>
      <c r="X29" s="85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4"/>
      <c r="AM29" s="85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114"/>
      <c r="AZ29" s="111"/>
      <c r="BA29" s="112"/>
      <c r="BB29" s="113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23"/>
      <c r="BP29" s="25"/>
    </row>
    <row r="30" spans="2:68" ht="45" customHeight="1">
      <c r="B30" s="36" t="s">
        <v>64</v>
      </c>
      <c r="C30" s="66" t="s">
        <v>65</v>
      </c>
      <c r="D30" s="74" t="s">
        <v>25</v>
      </c>
      <c r="E30" s="68">
        <v>46141</v>
      </c>
      <c r="F30" s="69">
        <v>46155</v>
      </c>
      <c r="G30" s="55">
        <f t="shared" si="0"/>
        <v>14</v>
      </c>
      <c r="H30" s="47"/>
      <c r="I30" s="43"/>
      <c r="J30" s="2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4"/>
      <c r="X30" s="85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4"/>
      <c r="AM30" s="85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4"/>
      <c r="BB30" s="85"/>
      <c r="BC30" s="83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  <c r="BO30" s="23"/>
      <c r="BP30" s="25"/>
    </row>
    <row r="31" spans="2:68" ht="20.100000000000001" customHeight="1">
      <c r="B31" s="36" t="s">
        <v>66</v>
      </c>
      <c r="C31" s="66" t="s">
        <v>67</v>
      </c>
      <c r="D31" s="72" t="s">
        <v>31</v>
      </c>
      <c r="E31" s="68">
        <v>46134</v>
      </c>
      <c r="F31" s="69">
        <v>46148</v>
      </c>
      <c r="G31" s="55">
        <f t="shared" si="0"/>
        <v>14</v>
      </c>
      <c r="H31" s="47"/>
      <c r="I31" s="43"/>
      <c r="J31" s="2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4"/>
      <c r="X31" s="85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4"/>
      <c r="AM31" s="85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109"/>
      <c r="AZ31" s="109"/>
      <c r="BA31" s="116"/>
      <c r="BB31" s="117"/>
      <c r="BC31" s="109"/>
      <c r="BD31" s="109"/>
      <c r="BE31" s="109"/>
      <c r="BF31" s="109"/>
      <c r="BG31" s="109"/>
      <c r="BH31" s="109"/>
      <c r="BI31" s="109"/>
      <c r="BJ31" s="83"/>
      <c r="BK31" s="83"/>
      <c r="BL31" s="83"/>
      <c r="BM31" s="83"/>
      <c r="BN31" s="83"/>
      <c r="BO31" s="83"/>
      <c r="BP31" s="118"/>
    </row>
    <row r="32" spans="2:68" ht="40.5" customHeight="1">
      <c r="B32" s="36" t="s">
        <v>68</v>
      </c>
      <c r="C32" s="66" t="s">
        <v>69</v>
      </c>
      <c r="D32" s="71" t="s">
        <v>70</v>
      </c>
      <c r="E32" s="110">
        <v>46134</v>
      </c>
      <c r="F32" s="69">
        <v>46148</v>
      </c>
      <c r="G32" s="55">
        <f t="shared" si="0"/>
        <v>14</v>
      </c>
      <c r="H32" s="47"/>
      <c r="I32" s="43"/>
      <c r="J32" s="2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4"/>
      <c r="X32" s="85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4"/>
      <c r="AM32" s="85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114"/>
      <c r="AZ32" s="114"/>
      <c r="BA32" s="119"/>
      <c r="BB32" s="120"/>
      <c r="BC32" s="114"/>
      <c r="BD32" s="114"/>
      <c r="BE32" s="114"/>
      <c r="BF32" s="114"/>
      <c r="BG32" s="114"/>
      <c r="BH32" s="114"/>
      <c r="BI32" s="114"/>
      <c r="BJ32" s="83"/>
      <c r="BK32" s="83"/>
      <c r="BL32" s="83"/>
      <c r="BM32" s="83"/>
      <c r="BN32" s="83"/>
      <c r="BO32" s="83"/>
      <c r="BP32" s="25"/>
    </row>
    <row r="33" spans="2:68" ht="20.100000000000001" customHeight="1">
      <c r="B33" s="36" t="s">
        <v>71</v>
      </c>
      <c r="C33" s="66" t="s">
        <v>72</v>
      </c>
      <c r="D33" s="74" t="s">
        <v>29</v>
      </c>
      <c r="E33" s="68">
        <v>46149</v>
      </c>
      <c r="F33" s="69">
        <v>46162</v>
      </c>
      <c r="G33" s="55">
        <f t="shared" si="0"/>
        <v>13</v>
      </c>
      <c r="H33" s="47"/>
      <c r="I33" s="43"/>
      <c r="J33" s="2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4"/>
      <c r="X33" s="85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4"/>
      <c r="AM33" s="85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4"/>
      <c r="BB33" s="85"/>
      <c r="BC33" s="83"/>
      <c r="BD33" s="83"/>
      <c r="BE33" s="83"/>
      <c r="BF33" s="83"/>
      <c r="BG33" s="83"/>
      <c r="BH33" s="83"/>
      <c r="BI33" s="83"/>
      <c r="BJ33" s="95"/>
      <c r="BK33" s="95"/>
      <c r="BL33" s="95"/>
      <c r="BM33" s="95"/>
      <c r="BN33" s="95"/>
      <c r="BO33" s="95"/>
      <c r="BP33" s="106"/>
    </row>
    <row r="34" spans="2:68" ht="20.100000000000001" customHeight="1">
      <c r="B34" s="36"/>
      <c r="C34" s="66"/>
      <c r="D34" s="71"/>
      <c r="E34" s="52"/>
      <c r="F34" s="54"/>
      <c r="G34" s="55"/>
      <c r="H34" s="47"/>
      <c r="I34" s="43"/>
      <c r="J34" s="2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4"/>
      <c r="X34" s="85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4"/>
      <c r="AM34" s="85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4"/>
      <c r="BB34" s="85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23"/>
      <c r="BN34" s="23"/>
      <c r="BO34" s="23"/>
      <c r="BP34" s="25"/>
    </row>
    <row r="35" spans="2:68" ht="20.100000000000001" customHeight="1">
      <c r="B35" s="36"/>
      <c r="C35" s="38"/>
      <c r="D35" s="39"/>
      <c r="E35" s="53"/>
      <c r="F35" s="50"/>
      <c r="G35" s="40"/>
      <c r="H35" s="48"/>
      <c r="I35" s="42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  <c r="X35" s="18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0"/>
      <c r="AM35" s="18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20"/>
      <c r="BB35" s="18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21"/>
    </row>
    <row r="36" spans="2:68">
      <c r="B36" s="36"/>
      <c r="C36" s="37"/>
    </row>
    <row r="37" spans="2:68">
      <c r="B37" s="41"/>
      <c r="C37" s="37"/>
    </row>
    <row r="38" spans="2:68">
      <c r="C38" s="37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spans="2:68">
      <c r="C39" s="37"/>
      <c r="D39" s="64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 spans="2:68">
      <c r="B40" s="63"/>
      <c r="D40" s="65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 spans="2:68">
      <c r="B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 spans="2:68"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 spans="2:68">
      <c r="B43" s="63"/>
      <c r="C43" s="75" t="s">
        <v>25</v>
      </c>
      <c r="D43" s="63"/>
      <c r="E43" s="82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 spans="2:68">
      <c r="B44" s="63"/>
      <c r="C44" t="s">
        <v>4</v>
      </c>
      <c r="D44" s="63"/>
      <c r="E44" s="82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 spans="2:68">
      <c r="B45" s="63"/>
      <c r="C45" t="s">
        <v>4</v>
      </c>
      <c r="D45" s="63"/>
      <c r="E45" s="82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 spans="2:68">
      <c r="B46" s="63"/>
      <c r="C46" t="s">
        <v>4</v>
      </c>
      <c r="D46" s="63"/>
      <c r="E46" s="82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 spans="2:68">
      <c r="B47" s="63"/>
      <c r="C47" t="s">
        <v>4</v>
      </c>
      <c r="D47" s="63"/>
      <c r="E47" s="82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 spans="2:68">
      <c r="B48" s="63"/>
      <c r="C48" s="63"/>
      <c r="D48" s="63"/>
      <c r="E48" s="82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 spans="2:13">
      <c r="B49" s="63"/>
      <c r="C49" s="63"/>
      <c r="D49" s="63"/>
      <c r="E49" s="82"/>
      <c r="F49" s="63"/>
      <c r="G49" s="63"/>
      <c r="H49" s="63"/>
      <c r="I49" s="63"/>
      <c r="J49" s="63"/>
      <c r="K49" s="63"/>
      <c r="L49" s="63"/>
      <c r="M49" s="63"/>
    </row>
    <row r="50" spans="2:13">
      <c r="B50" s="63"/>
      <c r="C50" s="76" t="s">
        <v>29</v>
      </c>
      <c r="D50" s="63"/>
      <c r="E50" s="82"/>
      <c r="F50" s="63"/>
      <c r="G50" s="63"/>
      <c r="H50" s="63"/>
      <c r="I50" s="63"/>
      <c r="J50" s="63"/>
      <c r="K50" s="63"/>
      <c r="L50" s="63"/>
      <c r="M50" s="63"/>
    </row>
    <row r="51" spans="2:13">
      <c r="B51" s="63"/>
      <c r="C51" t="s">
        <v>4</v>
      </c>
      <c r="D51" s="63"/>
      <c r="E51" s="82"/>
      <c r="F51" s="63"/>
      <c r="G51" s="63"/>
      <c r="H51" s="63"/>
      <c r="I51" s="63"/>
      <c r="J51" s="63"/>
      <c r="K51" s="63"/>
      <c r="L51" s="63"/>
      <c r="M51" s="63"/>
    </row>
    <row r="52" spans="2:13">
      <c r="B52" s="63"/>
      <c r="C52" t="s">
        <v>4</v>
      </c>
      <c r="D52" s="63"/>
      <c r="E52" s="82"/>
      <c r="F52" s="63"/>
      <c r="G52" s="63"/>
      <c r="H52" s="63"/>
      <c r="I52" s="63"/>
      <c r="J52" s="63"/>
      <c r="K52" s="63"/>
      <c r="L52" s="63"/>
      <c r="M52" s="63"/>
    </row>
    <row r="53" spans="2:13">
      <c r="B53" s="63"/>
      <c r="C53" t="s">
        <v>4</v>
      </c>
      <c r="D53" s="63"/>
      <c r="E53" s="82"/>
      <c r="F53" s="63"/>
      <c r="G53" s="63"/>
      <c r="H53" s="63"/>
      <c r="I53" s="63"/>
      <c r="J53" s="63"/>
      <c r="K53" s="63"/>
      <c r="L53" s="63"/>
      <c r="M53" s="63"/>
    </row>
    <row r="54" spans="2:13">
      <c r="B54" s="63"/>
      <c r="C54" s="63"/>
      <c r="D54" s="63"/>
      <c r="E54" s="82"/>
      <c r="F54" s="63"/>
      <c r="G54" s="63"/>
      <c r="H54" s="63"/>
      <c r="I54" s="63"/>
      <c r="J54" s="63"/>
      <c r="K54" s="63"/>
      <c r="L54" s="63"/>
      <c r="M54" s="63"/>
    </row>
    <row r="55" spans="2:13">
      <c r="B55" s="63"/>
      <c r="C55" s="77" t="s">
        <v>31</v>
      </c>
      <c r="D55" s="63"/>
      <c r="E55" s="82"/>
      <c r="F55" s="63"/>
      <c r="G55" s="63"/>
      <c r="H55" s="63"/>
      <c r="I55" s="63"/>
      <c r="J55" s="63"/>
      <c r="K55" s="63"/>
      <c r="L55" s="63"/>
      <c r="M55" s="63"/>
    </row>
    <row r="56" spans="2:13">
      <c r="B56" s="63"/>
      <c r="C56" t="s">
        <v>4</v>
      </c>
      <c r="D56" s="63"/>
      <c r="E56" s="82"/>
      <c r="F56" s="63"/>
      <c r="G56" s="63"/>
      <c r="H56" s="63"/>
      <c r="I56" s="63"/>
      <c r="J56" s="63"/>
      <c r="K56" s="63"/>
      <c r="L56" s="63"/>
      <c r="M56" s="63"/>
    </row>
    <row r="57" spans="2:13">
      <c r="B57" s="63"/>
      <c r="C57" t="s">
        <v>4</v>
      </c>
      <c r="D57" s="63"/>
      <c r="E57" s="82"/>
      <c r="F57" s="63"/>
      <c r="G57" s="63"/>
      <c r="H57" s="63"/>
      <c r="I57" s="63"/>
      <c r="J57" s="63"/>
      <c r="K57" s="63"/>
      <c r="L57" s="63"/>
      <c r="M57" s="63"/>
    </row>
    <row r="58" spans="2:13">
      <c r="B58" s="63"/>
      <c r="C58" t="s">
        <v>4</v>
      </c>
      <c r="D58" s="63"/>
      <c r="E58" s="82"/>
      <c r="F58" s="63"/>
      <c r="G58" s="63"/>
      <c r="H58" s="63"/>
      <c r="I58" s="63"/>
      <c r="J58" s="63"/>
      <c r="K58" s="63"/>
      <c r="L58" s="63"/>
      <c r="M58" s="63"/>
    </row>
    <row r="59" spans="2:13"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</row>
    <row r="60" spans="2:13"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</row>
    <row r="61" spans="2:13">
      <c r="B61" s="63"/>
      <c r="C61" s="63"/>
    </row>
    <row r="62" spans="2:13">
      <c r="B62" s="63"/>
      <c r="C62" s="63"/>
    </row>
    <row r="63" spans="2:13">
      <c r="C63" s="63"/>
    </row>
    <row r="64" spans="2:13">
      <c r="C64" s="63"/>
    </row>
  </sheetData>
  <mergeCells count="17">
    <mergeCell ref="B3:C3"/>
    <mergeCell ref="D3:H3"/>
    <mergeCell ref="B1:C1"/>
    <mergeCell ref="BL5:BP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2:C2"/>
    <mergeCell ref="D2:H2"/>
  </mergeCells>
  <conditionalFormatting sqref="H29:H35 H7:H17 H19:H27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7" right="0.7" top="0.75" bottom="0.75" header="0.3" footer="0.3"/>
  <pageSetup paperSize="119" scale="59" orientation="landscape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H29:H35 H7:H17 H19:H27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2016-03-21T16:06:55Z</dcterms:created>
  <dcterms:modified xsi:type="dcterms:W3CDTF">2026-03-04T20:58:28Z</dcterms:modified>
  <cp:category/>
  <cp:contentStatus/>
</cp:coreProperties>
</file>